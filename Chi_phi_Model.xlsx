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OQ\Downloads\Expert_Trace_A2_Deliverables\Expert_KnowHow_A2_Deliverables\03_Chi_phi_va_KPI\"/>
    </mc:Choice>
  </mc:AlternateContent>
  <xr:revisionPtr revIDLastSave="0" documentId="13_ncr:1_{6434232F-C183-4CC7-8000-9BA3C004A1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st model" sheetId="1" r:id="rId1"/>
    <sheet name="KP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8" i="1"/>
  <c r="B3" i="1"/>
  <c r="B5" i="1" s="1"/>
  <c r="B14" i="1" s="1"/>
  <c r="B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Giá trị ước tính để lập kế hoạch, không phải báo giá nhà cung cấp.</t>
        </r>
      </text>
    </comment>
    <comment ref="B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Giá trị ước tính để lập kế hoạch, không phải báo giá nhà cung cấp.</t>
        </r>
      </text>
    </comment>
    <comment ref="B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Giá trị ước tính để lập kế hoạch, không phải báo giá nhà cung cấp.</t>
        </r>
      </text>
    </comment>
    <comment ref="B10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Giá trị ước tính để lập kế hoạch, không phải báo giá nhà cung cấp.</t>
        </r>
      </text>
    </comment>
    <comment ref="B1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Giá trị ước tính để lập kế hoạch, không phải báo giá nhà cung cấp.</t>
        </r>
      </text>
    </comment>
    <comment ref="B1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Giá trị ước tính để lập kế hoạch, không phải báo giá nhà cung cấp.</t>
        </r>
      </text>
    </comment>
    <comment ref="B15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Giá trị ước tính để lập kế hoạch, không phải báo giá nhà cung cấp.</t>
        </r>
      </text>
    </comment>
  </commentList>
</comments>
</file>

<file path=xl/sharedStrings.xml><?xml version="1.0" encoding="utf-8"?>
<sst xmlns="http://schemas.openxmlformats.org/spreadsheetml/2006/main" count="65" uniqueCount="58">
  <si>
    <t>Mô hình chi phí Prototype</t>
  </si>
  <si>
    <t>Giá trị đầu vào</t>
  </si>
  <si>
    <t>Đơn vị/Ghi chú</t>
  </si>
  <si>
    <t>Số giờ audio cần xử lý</t>
  </si>
  <si>
    <t>giờ; giả định cho prototype</t>
  </si>
  <si>
    <t>Phút audio</t>
  </si>
  <si>
    <t>phút; tự tính từ số giờ</t>
  </si>
  <si>
    <t>Đơn giá STT mỗi phút</t>
  </si>
  <si>
    <t>USD/phút; giả định benchmark STT</t>
  </si>
  <si>
    <t>Chi phí STT</t>
  </si>
  <si>
    <t>USD; tự tính</t>
  </si>
  <si>
    <t>Số lượt LLM</t>
  </si>
  <si>
    <t>lượt; tổng lượt xử lý LLM dự kiến</t>
  </si>
  <si>
    <t>Chi phí trung bình mỗi lượt LLM</t>
  </si>
  <si>
    <t>USD/lượt; giả định trung bình</t>
  </si>
  <si>
    <t>Chi phí LLM</t>
  </si>
  <si>
    <t>Lưu trữ/hạ tầng</t>
  </si>
  <si>
    <t>USD; lưu trữ và hạ tầng thử nghiệm</t>
  </si>
  <si>
    <t>Nhân lực phát triển</t>
  </si>
  <si>
    <t>USD; giả định 10 ngày công × 100 USD/ngày</t>
  </si>
  <si>
    <t>Giờ chuyên gia duyệt</t>
  </si>
  <si>
    <t>giờ; thời gian chuyên gia kiểm duyệt</t>
  </si>
  <si>
    <t>Chi phí chuyên gia mỗi giờ</t>
  </si>
  <si>
    <t>USD/giờ; giả định chi phí chuyên gia</t>
  </si>
  <si>
    <t>Chi phí duyệt</t>
  </si>
  <si>
    <t>Tổng chi phí ước tính</t>
  </si>
  <si>
    <t>USD; tổng chi phí ước tính</t>
  </si>
  <si>
    <t>Số hồ sơ được duyệt</t>
  </si>
  <si>
    <t>hồ sơ; số hồ sơ được chuyên gia duyệt</t>
  </si>
  <si>
    <t>Chi phí mỗi hồ sơ được duyệt</t>
  </si>
  <si>
    <t>USD/hồ sơ được duyệt; tự tính</t>
  </si>
  <si>
    <t>Giả định cần lưu ý</t>
  </si>
  <si>
    <t>KPI</t>
  </si>
  <si>
    <t>Định nghĩa</t>
  </si>
  <si>
    <t>Cách đo</t>
  </si>
  <si>
    <t>Baseline</t>
  </si>
  <si>
    <t>Mục tiêu thử nghiệm</t>
  </si>
  <si>
    <t>Kết quả</t>
  </si>
  <si>
    <t>Tỷ lệ claim có bằng chứng</t>
  </si>
  <si>
    <t>Claim quan trọng có nguồn hợp lệ / tổng claim quan trọng</t>
  </si>
  <si>
    <t>Chuyên gia kiểm tra mẫu</t>
  </si>
  <si>
    <t>Chốt sau baseline</t>
  </si>
  <si>
    <t>Tỷ lệ bằng chứng hỗ trợ claim</t>
  </si>
  <si>
    <t>Nguồn thực sự hỗ trợ nội dung claim / claim được lấy mẫu</t>
  </si>
  <si>
    <t>Đánh giá chuyên gia</t>
  </si>
  <si>
    <t>Recall@5</t>
  </si>
  <si>
    <t>Tỷ lệ câu hỏi có case liên quan trong top 5</t>
  </si>
  <si>
    <t>Bộ câu hỏi chuẩn</t>
  </si>
  <si>
    <t>Thời gian tìm thông tin</t>
  </si>
  <si>
    <t>Thời gian hoàn thành cùng tác vụ trước và sau</t>
  </si>
  <si>
    <t>Đo theo kịch bản cố định</t>
  </si>
  <si>
    <t>Tỷ lệ tái sử dụng hữu ích</t>
  </si>
  <si>
    <t>Hồ sơ được dùng và giúp ích cho xử lý / hồ sơ được tham khảo</t>
  </si>
  <si>
    <t>Phản hồi + review case</t>
  </si>
  <si>
    <t>Chi phí mỗi hồ sơ hữu ích</t>
  </si>
  <si>
    <t>Tổng chi phí / số hồ sơ được duyệt và có thể tái sử dụng</t>
  </si>
  <si>
    <t>Cost model</t>
  </si>
  <si>
    <t>Ước tính sơ bộ cho prototype: STT 0,006 USD/phút; LLM 0,01 USD/lượt; hạ tầng 30 USD; phát triển 10 ngày công × 100 USD/ngày; chuyên gia duyệt 8 giờ × 25 USD/giờ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</si>
</sst>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0"/>
    <numFmt numFmtId="165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45078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4" fontId="0" fillId="4" borderId="0" xfId="0" applyNumberFormat="1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165" fontId="0" fillId="4" borderId="0" xfId="0" applyNumberFormat="1" applyFill="1" applyAlignment="1">
      <alignment vertical="top" wrapText="1"/>
    </xf>
    <xf numFmtId="3" fontId="0" fillId="3" borderId="0" xfId="0" applyNumberFormat="1" applyFill="1" applyAlignment="1">
      <alignment vertical="top" wrapText="1"/>
    </xf>
    <xf numFmtId="165" fontId="0" fillId="3" borderId="0" xfId="0" applyNumberForma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pane ySplit="1" topLeftCell="A2" activePane="bottomLeft" state="frozen"/>
      <selection pane="bottomLeft" activeCell="B18" sqref="B18:C19"/>
    </sheetView>
  </sheetViews>
  <sheetFormatPr defaultRowHeight="14.4" x14ac:dyDescent="0.3"/>
  <cols>
    <col min="1" max="1" width="36" customWidth="1"/>
    <col min="2" max="2" width="24" customWidth="1"/>
    <col min="3" max="3" width="6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>
        <v>10</v>
      </c>
      <c r="C2" s="2" t="s">
        <v>4</v>
      </c>
    </row>
    <row r="3" spans="1:3" x14ac:dyDescent="0.3">
      <c r="A3" s="2" t="s">
        <v>5</v>
      </c>
      <c r="B3" s="4">
        <f>B2*60</f>
        <v>600</v>
      </c>
      <c r="C3" s="2" t="s">
        <v>6</v>
      </c>
    </row>
    <row r="4" spans="1:3" x14ac:dyDescent="0.3">
      <c r="A4" s="2" t="s">
        <v>7</v>
      </c>
      <c r="B4" s="5">
        <v>6.0000000000000001E-3</v>
      </c>
      <c r="C4" s="2" t="s">
        <v>8</v>
      </c>
    </row>
    <row r="5" spans="1:3" x14ac:dyDescent="0.3">
      <c r="A5" s="2" t="s">
        <v>9</v>
      </c>
      <c r="B5" s="6">
        <f>B3*B4</f>
        <v>3.6</v>
      </c>
      <c r="C5" s="2" t="s">
        <v>10</v>
      </c>
    </row>
    <row r="6" spans="1:3" x14ac:dyDescent="0.3">
      <c r="A6" s="2" t="s">
        <v>11</v>
      </c>
      <c r="B6" s="7">
        <v>100</v>
      </c>
      <c r="C6" s="2" t="s">
        <v>12</v>
      </c>
    </row>
    <row r="7" spans="1:3" x14ac:dyDescent="0.3">
      <c r="A7" s="2" t="s">
        <v>13</v>
      </c>
      <c r="B7" s="5">
        <v>0.01</v>
      </c>
      <c r="C7" s="2" t="s">
        <v>14</v>
      </c>
    </row>
    <row r="8" spans="1:3" x14ac:dyDescent="0.3">
      <c r="A8" s="2" t="s">
        <v>15</v>
      </c>
      <c r="B8" s="6">
        <f>B6*B7</f>
        <v>1</v>
      </c>
      <c r="C8" s="2" t="s">
        <v>10</v>
      </c>
    </row>
    <row r="9" spans="1:3" x14ac:dyDescent="0.3">
      <c r="A9" s="2" t="s">
        <v>16</v>
      </c>
      <c r="B9" s="8">
        <v>30</v>
      </c>
      <c r="C9" s="2" t="s">
        <v>17</v>
      </c>
    </row>
    <row r="10" spans="1:3" x14ac:dyDescent="0.3">
      <c r="A10" s="2" t="s">
        <v>18</v>
      </c>
      <c r="B10" s="8">
        <v>1000</v>
      </c>
      <c r="C10" s="2" t="s">
        <v>19</v>
      </c>
    </row>
    <row r="11" spans="1:3" x14ac:dyDescent="0.3">
      <c r="A11" s="2" t="s">
        <v>20</v>
      </c>
      <c r="B11" s="7">
        <v>8</v>
      </c>
      <c r="C11" s="2" t="s">
        <v>21</v>
      </c>
    </row>
    <row r="12" spans="1:3" x14ac:dyDescent="0.3">
      <c r="A12" s="2" t="s">
        <v>22</v>
      </c>
      <c r="B12" s="5">
        <v>25</v>
      </c>
      <c r="C12" s="2" t="s">
        <v>23</v>
      </c>
    </row>
    <row r="13" spans="1:3" x14ac:dyDescent="0.3">
      <c r="A13" s="2" t="s">
        <v>24</v>
      </c>
      <c r="B13" s="6">
        <f>B11*B12</f>
        <v>200</v>
      </c>
      <c r="C13" s="2" t="s">
        <v>10</v>
      </c>
    </row>
    <row r="14" spans="1:3" x14ac:dyDescent="0.3">
      <c r="A14" s="2" t="s">
        <v>25</v>
      </c>
      <c r="B14" s="6">
        <f>B5+B8+B9+B10+B13</f>
        <v>1234.5999999999999</v>
      </c>
      <c r="C14" s="2" t="s">
        <v>26</v>
      </c>
    </row>
    <row r="15" spans="1:3" x14ac:dyDescent="0.3">
      <c r="A15" s="2" t="s">
        <v>27</v>
      </c>
      <c r="B15" s="7">
        <v>10</v>
      </c>
      <c r="C15" s="2" t="s">
        <v>28</v>
      </c>
    </row>
    <row r="16" spans="1:3" x14ac:dyDescent="0.3">
      <c r="A16" s="2" t="s">
        <v>29</v>
      </c>
      <c r="B16" s="6">
        <f>IFERROR(B14/B15,0)</f>
        <v>123.46</v>
      </c>
      <c r="C16" s="2" t="s">
        <v>30</v>
      </c>
    </row>
    <row r="17" spans="1:3" x14ac:dyDescent="0.3">
      <c r="A17" s="2"/>
      <c r="B17" s="2"/>
      <c r="C17" s="2"/>
    </row>
    <row r="18" spans="1:3" ht="42" customHeight="1" x14ac:dyDescent="0.3">
      <c r="A18" s="2" t="s">
        <v>31</v>
      </c>
      <c r="B18" s="9" t="s">
        <v>57</v>
      </c>
      <c r="C18" s="10"/>
    </row>
    <row r="19" spans="1:3" ht="25.05" customHeight="1" x14ac:dyDescent="0.3">
      <c r="B19" s="10"/>
      <c r="C19" s="10"/>
    </row>
  </sheetData>
  <mergeCells count="1">
    <mergeCell ref="B18:C19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4.4" x14ac:dyDescent="0.3"/>
  <cols>
    <col min="1" max="1" width="32" customWidth="1"/>
    <col min="2" max="2" width="44" customWidth="1"/>
    <col min="3" max="3" width="38" customWidth="1"/>
  </cols>
  <sheetData>
    <row r="1" spans="1:6" ht="43.2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 ht="28.8" x14ac:dyDescent="0.3">
      <c r="A2" s="2" t="s">
        <v>38</v>
      </c>
      <c r="B2" s="2" t="s">
        <v>39</v>
      </c>
      <c r="C2" s="2" t="s">
        <v>40</v>
      </c>
      <c r="D2" s="2"/>
      <c r="E2" s="2" t="s">
        <v>41</v>
      </c>
      <c r="F2" s="2"/>
    </row>
    <row r="3" spans="1:6" ht="28.8" x14ac:dyDescent="0.3">
      <c r="A3" s="2" t="s">
        <v>42</v>
      </c>
      <c r="B3" s="2" t="s">
        <v>43</v>
      </c>
      <c r="C3" s="2" t="s">
        <v>44</v>
      </c>
      <c r="D3" s="2"/>
      <c r="E3" s="2" t="s">
        <v>41</v>
      </c>
      <c r="F3" s="2"/>
    </row>
    <row r="4" spans="1:6" ht="28.8" x14ac:dyDescent="0.3">
      <c r="A4" s="2" t="s">
        <v>45</v>
      </c>
      <c r="B4" s="2" t="s">
        <v>46</v>
      </c>
      <c r="C4" s="2" t="s">
        <v>47</v>
      </c>
      <c r="D4" s="2"/>
      <c r="E4" s="2" t="s">
        <v>41</v>
      </c>
      <c r="F4" s="2"/>
    </row>
    <row r="5" spans="1:6" ht="28.8" x14ac:dyDescent="0.3">
      <c r="A5" s="2" t="s">
        <v>48</v>
      </c>
      <c r="B5" s="2" t="s">
        <v>49</v>
      </c>
      <c r="C5" s="2" t="s">
        <v>50</v>
      </c>
      <c r="D5" s="2"/>
      <c r="E5" s="2" t="s">
        <v>41</v>
      </c>
      <c r="F5" s="2"/>
    </row>
    <row r="6" spans="1:6" ht="28.8" x14ac:dyDescent="0.3">
      <c r="A6" s="2" t="s">
        <v>51</v>
      </c>
      <c r="B6" s="2" t="s">
        <v>52</v>
      </c>
      <c r="C6" s="2" t="s">
        <v>53</v>
      </c>
      <c r="D6" s="2"/>
      <c r="E6" s="2" t="s">
        <v>41</v>
      </c>
      <c r="F6" s="2"/>
    </row>
    <row r="7" spans="1:6" ht="28.8" x14ac:dyDescent="0.3">
      <c r="A7" s="2" t="s">
        <v>54</v>
      </c>
      <c r="B7" s="2" t="s">
        <v>55</v>
      </c>
      <c r="C7" s="2" t="s">
        <v>56</v>
      </c>
      <c r="D7" s="2"/>
      <c r="E7" s="2" t="s">
        <v>41</v>
      </c>
      <c r="F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model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Nishina Takaki</cp:lastModifiedBy>
  <dcterms:created xsi:type="dcterms:W3CDTF">2026-10-11T22:52:24Z</dcterms:created>
  <dcterms:modified xsi:type="dcterms:W3CDTF">2026-10-11T23:09:19Z</dcterms:modified>
</cp:coreProperties>
</file>